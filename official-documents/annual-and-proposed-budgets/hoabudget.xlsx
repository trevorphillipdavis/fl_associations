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653148D8-1F3D-41F6-9B10-936E266D57A9}" xr6:coauthVersionLast="47" xr6:coauthVersionMax="47" xr10:uidLastSave="{00000000-0000-0000-0000-000000000000}"/>
  <bookViews>
    <workbookView xWindow="-98" yWindow="-98" windowWidth="24496" windowHeight="15675" xr2:uid="{DCAE9497-4AF7-4ACA-B1B1-2B500A7EAF2E}"/>
  </bookViews>
  <sheets>
    <sheet name="HOA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1" i="1" l="1"/>
  <c r="C31" i="1"/>
  <c r="B31" i="1"/>
  <c r="D29" i="1"/>
  <c r="C29" i="1"/>
  <c r="B29" i="1"/>
  <c r="D28" i="1"/>
  <c r="D27" i="1"/>
  <c r="D26" i="1"/>
  <c r="D25" i="1"/>
  <c r="D24" i="1"/>
  <c r="D23" i="1"/>
  <c r="D22" i="1"/>
  <c r="D21" i="1"/>
  <c r="D20" i="1"/>
  <c r="D19" i="1"/>
  <c r="C28" i="1"/>
  <c r="C27" i="1"/>
  <c r="C26" i="1"/>
  <c r="C25" i="1"/>
  <c r="C24" i="1"/>
  <c r="C23" i="1"/>
  <c r="C22" i="1"/>
  <c r="C21" i="1"/>
  <c r="C20" i="1"/>
  <c r="C19" i="1"/>
  <c r="D16" i="1"/>
  <c r="C16" i="1"/>
  <c r="B16" i="1"/>
  <c r="D14" i="1" s="1"/>
  <c r="C15" i="1"/>
  <c r="C14" i="1"/>
  <c r="C13" i="1"/>
  <c r="C12" i="1"/>
  <c r="B12" i="1"/>
  <c r="D15" i="1" l="1"/>
  <c r="D12" i="1"/>
  <c r="D13" i="1"/>
</calcChain>
</file>

<file path=xl/sharedStrings.xml><?xml version="1.0" encoding="utf-8"?>
<sst xmlns="http://schemas.openxmlformats.org/spreadsheetml/2006/main" count="46" uniqueCount="46">
  <si>
    <t>Sample HOA Annual Budget</t>
  </si>
  <si>
    <t>Generic example for planning purposes — edit the assumptions and budget amounts to fit your community.</t>
  </si>
  <si>
    <t>PLANNING ASSUMPTIONS</t>
  </si>
  <si>
    <t>Homes / units</t>
  </si>
  <si>
    <t>Monthly dues per unit</t>
  </si>
  <si>
    <t>Expected collection rate</t>
  </si>
  <si>
    <t>Budget year</t>
  </si>
  <si>
    <t>Category</t>
  </si>
  <si>
    <t>Annual Budget</t>
  </si>
  <si>
    <t>Monthly Average</t>
  </si>
  <si>
    <t>% of Revenue</t>
  </si>
  <si>
    <t>Notes</t>
  </si>
  <si>
    <t>INCOME</t>
  </si>
  <si>
    <t>Homeowner assessments</t>
  </si>
  <si>
    <t>Late fees and fines</t>
  </si>
  <si>
    <t>Amenity / rental income</t>
  </si>
  <si>
    <t>Interest and other income</t>
  </si>
  <si>
    <t>Units × monthly dues × 12 × collection rate</t>
  </si>
  <si>
    <t>Conservative estimate</t>
  </si>
  <si>
    <t>Clubhouse, pool, or common-area rentals</t>
  </si>
  <si>
    <t>Interest earned and miscellaneous receipts</t>
  </si>
  <si>
    <t>TOTAL INCOME</t>
  </si>
  <si>
    <t>EXPENSES</t>
  </si>
  <si>
    <t>Landscaping and grounds</t>
  </si>
  <si>
    <t>Pool / amenities</t>
  </si>
  <si>
    <t>Insurance</t>
  </si>
  <si>
    <t>Utilities</t>
  </si>
  <si>
    <t>Property management</t>
  </si>
  <si>
    <t>Repairs and maintenance</t>
  </si>
  <si>
    <t>Security / access control</t>
  </si>
  <si>
    <t>Administrative / legal</t>
  </si>
  <si>
    <t>Reserve contribution</t>
  </si>
  <si>
    <t>Contingency</t>
  </si>
  <si>
    <t>Routine lawn, tree, and common-area care</t>
  </si>
  <si>
    <t>Maintenance, supplies, and inspections</t>
  </si>
  <si>
    <t>Master policy and liability coverage</t>
  </si>
  <si>
    <t>Water, electricity, sewer, and common services</t>
  </si>
  <si>
    <t>Management company and bookkeeping</t>
  </si>
  <si>
    <t>General repairs and preventive maintenance</t>
  </si>
  <si>
    <t>Gates, cameras, patrols, or monitoring</t>
  </si>
  <si>
    <t>Legal, audit, postage, software, and meetings</t>
  </si>
  <si>
    <t>Funding for future capital replacements</t>
  </si>
  <si>
    <t>Allowance for unexpected operating costs</t>
  </si>
  <si>
    <t>TOTAL EXPENSES</t>
  </si>
  <si>
    <t>BUDGET SURPLUS / (DEFICIT)</t>
  </si>
  <si>
    <t>Positive amounts provide operating flexibility; negative amounts require adjustment.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</si>
</sst>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7" formatCode="&quot;$&quot;#,##0;[Red]\(&quot;$&quot;#,##0\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7F9FB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0" xfId="0" applyFont="1" applyFill="1" applyAlignment="1">
      <alignment vertical="center"/>
    </xf>
    <xf numFmtId="0" fontId="4" fillId="0" borderId="0" xfId="0" applyFont="1" applyAlignment="1">
      <alignment wrapText="1"/>
    </xf>
    <xf numFmtId="0" fontId="2" fillId="3" borderId="0" xfId="0" applyFont="1" applyFill="1"/>
    <xf numFmtId="0" fontId="1" fillId="0" borderId="0" xfId="0" applyFont="1"/>
    <xf numFmtId="3" fontId="0" fillId="4" borderId="0" xfId="0" applyNumberFormat="1" applyFill="1"/>
    <xf numFmtId="164" fontId="0" fillId="4" borderId="0" xfId="0" applyNumberFormat="1" applyFill="1"/>
    <xf numFmtId="165" fontId="0" fillId="4" borderId="0" xfId="0" applyNumberFormat="1" applyFill="1"/>
    <xf numFmtId="1" fontId="0" fillId="4" borderId="0" xfId="0" applyNumberFormat="1" applyFill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6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0" fillId="0" borderId="1" xfId="0" applyBorder="1"/>
    <xf numFmtId="167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1" fillId="7" borderId="1" xfId="0" applyFont="1" applyFill="1" applyBorder="1"/>
    <xf numFmtId="167" fontId="1" fillId="7" borderId="1" xfId="0" applyNumberFormat="1" applyFont="1" applyFill="1" applyBorder="1" applyAlignment="1">
      <alignment horizontal="right"/>
    </xf>
    <xf numFmtId="165" fontId="1" fillId="7" borderId="1" xfId="0" applyNumberFormat="1" applyFont="1" applyFill="1" applyBorder="1" applyAlignment="1">
      <alignment horizontal="right"/>
    </xf>
    <xf numFmtId="0" fontId="0" fillId="7" borderId="1" xfId="0" applyFill="1" applyBorder="1" applyAlignment="1">
      <alignment wrapText="1"/>
    </xf>
    <xf numFmtId="0" fontId="1" fillId="8" borderId="1" xfId="0" applyFont="1" applyFill="1" applyBorder="1"/>
    <xf numFmtId="167" fontId="0" fillId="8" borderId="1" xfId="0" applyNumberFormat="1" applyFill="1" applyBorder="1" applyAlignment="1">
      <alignment horizontal="right"/>
    </xf>
    <xf numFmtId="165" fontId="0" fillId="8" borderId="1" xfId="0" applyNumberFormat="1" applyFill="1" applyBorder="1" applyAlignment="1">
      <alignment horizontal="right"/>
    </xf>
    <xf numFmtId="0" fontId="0" fillId="8" borderId="1" xfId="0" applyFill="1" applyBorder="1" applyAlignment="1">
      <alignment wrapText="1"/>
    </xf>
    <xf numFmtId="0" fontId="1" fillId="9" borderId="1" xfId="0" applyFont="1" applyFill="1" applyBorder="1"/>
    <xf numFmtId="167" fontId="1" fillId="9" borderId="1" xfId="0" applyNumberFormat="1" applyFont="1" applyFill="1" applyBorder="1" applyAlignment="1">
      <alignment horizontal="right"/>
    </xf>
    <xf numFmtId="165" fontId="1" fillId="9" borderId="1" xfId="0" applyNumberFormat="1" applyFont="1" applyFill="1" applyBorder="1" applyAlignment="1">
      <alignment horizontal="right"/>
    </xf>
    <xf numFmtId="0" fontId="0" fillId="9" borderId="1" xfId="0" applyFill="1" applyBorder="1" applyAlignment="1">
      <alignment wrapText="1"/>
    </xf>
    <xf numFmtId="0" fontId="1" fillId="10" borderId="1" xfId="0" applyFont="1" applyFill="1" applyBorder="1"/>
    <xf numFmtId="167" fontId="1" fillId="10" borderId="1" xfId="0" applyNumberFormat="1" applyFont="1" applyFill="1" applyBorder="1" applyAlignment="1">
      <alignment horizontal="right"/>
    </xf>
    <xf numFmtId="165" fontId="1" fillId="10" borderId="1" xfId="0" applyNumberFormat="1" applyFont="1" applyFill="1" applyBorder="1" applyAlignment="1">
      <alignment horizontal="right"/>
    </xf>
    <xf numFmtId="0" fontId="1" fillId="10" borderId="1" xfId="0" applyFont="1" applyFill="1" applyBorder="1" applyAlignment="1">
      <alignment wrapText="1"/>
    </xf>
    <xf numFmtId="0" fontId="0" fillId="11" borderId="1" xfId="0" applyFill="1" applyBorder="1"/>
    <xf numFmtId="167" fontId="0" fillId="11" borderId="1" xfId="0" applyNumberFormat="1" applyFill="1" applyBorder="1" applyAlignment="1">
      <alignment horizontal="right"/>
    </xf>
    <xf numFmtId="165" fontId="0" fillId="11" borderId="1" xfId="0" applyNumberFormat="1" applyFill="1" applyBorder="1" applyAlignment="1">
      <alignment horizontal="right"/>
    </xf>
    <xf numFmtId="0" fontId="0" fillId="11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E168-F42E-4E69-BEC9-84DE7F68A4D0}">
  <dimension ref="A1:E31"/>
  <sheetViews>
    <sheetView tabSelected="1" workbookViewId="0">
      <selection sqref="A1:E1"/>
    </sheetView>
  </sheetViews>
  <sheetFormatPr defaultRowHeight="14.25" x14ac:dyDescent="0.45"/>
  <cols>
    <col min="1" max="1" width="29.33203125" customWidth="1"/>
    <col min="2" max="4" width="16.86328125" customWidth="1"/>
    <col min="5" max="5" width="35.53125" customWidth="1"/>
  </cols>
  <sheetData>
    <row r="1" spans="1:5" ht="30" customHeight="1" x14ac:dyDescent="0.45">
      <c r="A1" s="1" t="s">
        <v>0</v>
      </c>
      <c r="B1" s="1"/>
      <c r="C1" s="1"/>
      <c r="D1" s="1"/>
      <c r="E1" s="1"/>
    </row>
    <row r="2" spans="1:5" x14ac:dyDescent="0.45">
      <c r="A2" s="2" t="s">
        <v>1</v>
      </c>
      <c r="B2" s="2"/>
      <c r="C2" s="2"/>
      <c r="D2" s="2"/>
      <c r="E2" s="2"/>
    </row>
    <row r="4" spans="1:5" x14ac:dyDescent="0.45">
      <c r="A4" s="3" t="s">
        <v>2</v>
      </c>
      <c r="B4" s="3"/>
      <c r="C4" s="3"/>
      <c r="D4" s="3"/>
      <c r="E4" s="3"/>
    </row>
    <row r="5" spans="1:5" x14ac:dyDescent="0.45">
      <c r="A5" s="4" t="s">
        <v>3</v>
      </c>
      <c r="B5" s="5">
        <v>100</v>
      </c>
    </row>
    <row r="6" spans="1:5" x14ac:dyDescent="0.45">
      <c r="A6" s="4" t="s">
        <v>4</v>
      </c>
      <c r="B6" s="6">
        <v>250</v>
      </c>
    </row>
    <row r="7" spans="1:5" x14ac:dyDescent="0.45">
      <c r="A7" s="4" t="s">
        <v>5</v>
      </c>
      <c r="B7" s="7">
        <v>0.98</v>
      </c>
    </row>
    <row r="8" spans="1:5" x14ac:dyDescent="0.45">
      <c r="A8" s="4" t="s">
        <v>6</v>
      </c>
      <c r="B8" s="8">
        <v>2027</v>
      </c>
    </row>
    <row r="10" spans="1:5" x14ac:dyDescent="0.45">
      <c r="A10" s="9" t="s">
        <v>7</v>
      </c>
      <c r="B10" s="9" t="s">
        <v>8</v>
      </c>
      <c r="C10" s="9" t="s">
        <v>9</v>
      </c>
      <c r="D10" s="9" t="s">
        <v>10</v>
      </c>
      <c r="E10" s="10" t="s">
        <v>11</v>
      </c>
    </row>
    <row r="11" spans="1:5" x14ac:dyDescent="0.45">
      <c r="A11" s="11" t="s">
        <v>12</v>
      </c>
      <c r="B11" s="12"/>
      <c r="C11" s="12"/>
      <c r="D11" s="12"/>
      <c r="E11" s="13"/>
    </row>
    <row r="12" spans="1:5" x14ac:dyDescent="0.45">
      <c r="A12" s="34" t="s">
        <v>13</v>
      </c>
      <c r="B12" s="35">
        <f>B5*B6*12*B7</f>
        <v>294000</v>
      </c>
      <c r="C12" s="35">
        <f>B12/12</f>
        <v>24500</v>
      </c>
      <c r="D12" s="36">
        <f>B12/$B$16</f>
        <v>0.96869851729818779</v>
      </c>
      <c r="E12" s="37" t="s">
        <v>17</v>
      </c>
    </row>
    <row r="13" spans="1:5" x14ac:dyDescent="0.45">
      <c r="A13" s="14" t="s">
        <v>14</v>
      </c>
      <c r="B13" s="15">
        <v>3000</v>
      </c>
      <c r="C13" s="15">
        <f t="shared" ref="C13:C15" si="0">B13/12</f>
        <v>250</v>
      </c>
      <c r="D13" s="16">
        <f t="shared" ref="D13:D15" si="1">B13/$B$16</f>
        <v>9.8846787479406912E-3</v>
      </c>
      <c r="E13" s="17" t="s">
        <v>18</v>
      </c>
    </row>
    <row r="14" spans="1:5" x14ac:dyDescent="0.45">
      <c r="A14" s="34" t="s">
        <v>15</v>
      </c>
      <c r="B14" s="35">
        <v>5000</v>
      </c>
      <c r="C14" s="35">
        <f t="shared" si="0"/>
        <v>416.66666666666669</v>
      </c>
      <c r="D14" s="36">
        <f t="shared" si="1"/>
        <v>1.6474464579901153E-2</v>
      </c>
      <c r="E14" s="37" t="s">
        <v>19</v>
      </c>
    </row>
    <row r="15" spans="1:5" x14ac:dyDescent="0.45">
      <c r="A15" s="14" t="s">
        <v>16</v>
      </c>
      <c r="B15" s="15">
        <v>1500</v>
      </c>
      <c r="C15" s="15">
        <f t="shared" si="0"/>
        <v>125</v>
      </c>
      <c r="D15" s="16">
        <f t="shared" si="1"/>
        <v>4.9423393739703456E-3</v>
      </c>
      <c r="E15" s="17" t="s">
        <v>20</v>
      </c>
    </row>
    <row r="16" spans="1:5" x14ac:dyDescent="0.45">
      <c r="A16" s="18" t="s">
        <v>21</v>
      </c>
      <c r="B16" s="19">
        <f>SUM(B12:B15)</f>
        <v>303500</v>
      </c>
      <c r="C16" s="19">
        <f>B16/12</f>
        <v>25291.666666666668</v>
      </c>
      <c r="D16" s="20">
        <f>SUM(D12:D15)</f>
        <v>1</v>
      </c>
      <c r="E16" s="21"/>
    </row>
    <row r="17" spans="1:5" x14ac:dyDescent="0.45">
      <c r="A17" s="14"/>
      <c r="B17" s="15"/>
      <c r="C17" s="15"/>
      <c r="D17" s="16"/>
      <c r="E17" s="17"/>
    </row>
    <row r="18" spans="1:5" x14ac:dyDescent="0.45">
      <c r="A18" s="22" t="s">
        <v>22</v>
      </c>
      <c r="B18" s="23"/>
      <c r="C18" s="23"/>
      <c r="D18" s="24"/>
      <c r="E18" s="25"/>
    </row>
    <row r="19" spans="1:5" x14ac:dyDescent="0.45">
      <c r="A19" s="14" t="s">
        <v>23</v>
      </c>
      <c r="B19" s="15">
        <v>42000</v>
      </c>
      <c r="C19" s="15">
        <f>B19/12</f>
        <v>3500</v>
      </c>
      <c r="D19" s="16">
        <f>B19/$B$16</f>
        <v>0.13838550247116968</v>
      </c>
      <c r="E19" s="17" t="s">
        <v>33</v>
      </c>
    </row>
    <row r="20" spans="1:5" x14ac:dyDescent="0.45">
      <c r="A20" s="34" t="s">
        <v>24</v>
      </c>
      <c r="B20" s="35">
        <v>24000</v>
      </c>
      <c r="C20" s="35">
        <f t="shared" ref="C20:C28" si="2">B20/12</f>
        <v>2000</v>
      </c>
      <c r="D20" s="36">
        <f t="shared" ref="D20:D28" si="3">B20/$B$16</f>
        <v>7.907742998352553E-2</v>
      </c>
      <c r="E20" s="37" t="s">
        <v>34</v>
      </c>
    </row>
    <row r="21" spans="1:5" x14ac:dyDescent="0.45">
      <c r="A21" s="14" t="s">
        <v>25</v>
      </c>
      <c r="B21" s="15">
        <v>30000</v>
      </c>
      <c r="C21" s="15">
        <f t="shared" si="2"/>
        <v>2500</v>
      </c>
      <c r="D21" s="16">
        <f t="shared" si="3"/>
        <v>9.8846787479406922E-2</v>
      </c>
      <c r="E21" s="17" t="s">
        <v>35</v>
      </c>
    </row>
    <row r="22" spans="1:5" ht="28.5" x14ac:dyDescent="0.45">
      <c r="A22" s="34" t="s">
        <v>26</v>
      </c>
      <c r="B22" s="35">
        <v>36000</v>
      </c>
      <c r="C22" s="35">
        <f t="shared" si="2"/>
        <v>3000</v>
      </c>
      <c r="D22" s="36">
        <f t="shared" si="3"/>
        <v>0.1186161449752883</v>
      </c>
      <c r="E22" s="37" t="s">
        <v>36</v>
      </c>
    </row>
    <row r="23" spans="1:5" x14ac:dyDescent="0.45">
      <c r="A23" s="14" t="s">
        <v>27</v>
      </c>
      <c r="B23" s="15">
        <v>30000</v>
      </c>
      <c r="C23" s="15">
        <f t="shared" si="2"/>
        <v>2500</v>
      </c>
      <c r="D23" s="16">
        <f t="shared" si="3"/>
        <v>9.8846787479406922E-2</v>
      </c>
      <c r="E23" s="17" t="s">
        <v>37</v>
      </c>
    </row>
    <row r="24" spans="1:5" x14ac:dyDescent="0.45">
      <c r="A24" s="34" t="s">
        <v>28</v>
      </c>
      <c r="B24" s="35">
        <v>25000</v>
      </c>
      <c r="C24" s="35">
        <f t="shared" si="2"/>
        <v>2083.3333333333335</v>
      </c>
      <c r="D24" s="36">
        <f t="shared" si="3"/>
        <v>8.2372322899505759E-2</v>
      </c>
      <c r="E24" s="37" t="s">
        <v>38</v>
      </c>
    </row>
    <row r="25" spans="1:5" x14ac:dyDescent="0.45">
      <c r="A25" s="14" t="s">
        <v>29</v>
      </c>
      <c r="B25" s="15">
        <v>12000</v>
      </c>
      <c r="C25" s="15">
        <f t="shared" si="2"/>
        <v>1000</v>
      </c>
      <c r="D25" s="16">
        <f t="shared" si="3"/>
        <v>3.9538714991762765E-2</v>
      </c>
      <c r="E25" s="17" t="s">
        <v>39</v>
      </c>
    </row>
    <row r="26" spans="1:5" ht="28.5" x14ac:dyDescent="0.45">
      <c r="A26" s="34" t="s">
        <v>30</v>
      </c>
      <c r="B26" s="35">
        <v>10000</v>
      </c>
      <c r="C26" s="35">
        <f t="shared" si="2"/>
        <v>833.33333333333337</v>
      </c>
      <c r="D26" s="36">
        <f t="shared" si="3"/>
        <v>3.2948929159802305E-2</v>
      </c>
      <c r="E26" s="37" t="s">
        <v>40</v>
      </c>
    </row>
    <row r="27" spans="1:5" x14ac:dyDescent="0.45">
      <c r="A27" s="14" t="s">
        <v>31</v>
      </c>
      <c r="B27" s="15">
        <v>60000</v>
      </c>
      <c r="C27" s="15">
        <f t="shared" si="2"/>
        <v>5000</v>
      </c>
      <c r="D27" s="16">
        <f t="shared" si="3"/>
        <v>0.19769357495881384</v>
      </c>
      <c r="E27" s="17" t="s">
        <v>41</v>
      </c>
    </row>
    <row r="28" spans="1:5" x14ac:dyDescent="0.45">
      <c r="A28" s="34" t="s">
        <v>32</v>
      </c>
      <c r="B28" s="35">
        <v>12000</v>
      </c>
      <c r="C28" s="35">
        <f t="shared" si="2"/>
        <v>1000</v>
      </c>
      <c r="D28" s="36">
        <f t="shared" si="3"/>
        <v>3.9538714991762765E-2</v>
      </c>
      <c r="E28" s="37" t="s">
        <v>42</v>
      </c>
    </row>
    <row r="29" spans="1:5" x14ac:dyDescent="0.45">
      <c r="A29" s="26" t="s">
        <v>43</v>
      </c>
      <c r="B29" s="27">
        <f>SUM(B19:B28)</f>
        <v>281000</v>
      </c>
      <c r="C29" s="27">
        <f>B29/12</f>
        <v>23416.666666666668</v>
      </c>
      <c r="D29" s="28">
        <f>B29/$B$16</f>
        <v>0.92586490939044486</v>
      </c>
      <c r="E29" s="29"/>
    </row>
    <row r="30" spans="1:5" x14ac:dyDescent="0.45">
      <c r="A30" s="14"/>
      <c r="B30" s="15"/>
      <c r="C30" s="15"/>
      <c r="D30" s="16"/>
      <c r="E30" s="17"/>
    </row>
    <row r="31" spans="1:5" ht="42.75" x14ac:dyDescent="0.45">
      <c r="A31" s="30" t="s">
        <v>44</v>
      </c>
      <c r="B31" s="31">
        <f>B16-B29</f>
        <v>22500</v>
      </c>
      <c r="C31" s="31">
        <f>B31/12</f>
        <v>1875</v>
      </c>
      <c r="D31" s="32">
        <f>B31/B16</f>
        <v>7.4135090609555185E-2</v>
      </c>
      <c r="E31" s="33" t="s">
        <v>45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Davis</dc:creator>
  <cp:lastModifiedBy>Trevor Davis</cp:lastModifiedBy>
  <dcterms:created xsi:type="dcterms:W3CDTF">2026-08-02T21:03:38Z</dcterms:created>
  <dcterms:modified xsi:type="dcterms:W3CDTF">2026-08-03T00:06:16Z</dcterms:modified>
</cp:coreProperties>
</file>